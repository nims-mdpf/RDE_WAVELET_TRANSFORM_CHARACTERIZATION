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WAVELET_TRANSFORM_CHARACTERIZATION/templates/template/"/>
    </mc:Choice>
  </mc:AlternateContent>
  <xr:revisionPtr revIDLastSave="0" documentId="13_ncr:1_{6C825D1E-05A0-D14C-8501-4D836608DBAF}" xr6:coauthVersionLast="47" xr6:coauthVersionMax="47" xr10:uidLastSave="{00000000-0000-0000-0000-000000000000}"/>
  <bookViews>
    <workbookView xWindow="45360" yWindow="74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8" l="1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L13" i="6"/>
  <c r="K13" i="6"/>
  <c r="L12" i="6"/>
  <c r="K12" i="6"/>
  <c r="L11" i="6"/>
  <c r="K11" i="6"/>
  <c r="L10" i="6"/>
  <c r="K10" i="6"/>
  <c r="L9" i="6"/>
  <c r="K9" i="6"/>
  <c r="O26" i="8"/>
  <c r="N26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14" i="6"/>
  <c r="L14" i="6"/>
  <c r="N27" i="8"/>
  <c r="O27" i="8"/>
  <c r="P27" i="8"/>
  <c r="K4" i="6"/>
  <c r="K15" i="6"/>
  <c r="K3" i="6"/>
  <c r="B3" i="7"/>
  <c r="B3" i="8"/>
  <c r="B5" i="7"/>
  <c r="B4" i="7"/>
  <c r="B2" i="7"/>
  <c r="B2" i="8"/>
  <c r="C2" i="10"/>
  <c r="V4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5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9" i="8" l="1"/>
  <c r="F37" i="8"/>
  <c r="G36" i="8"/>
  <c r="U43" i="8"/>
  <c r="V42" i="8"/>
  <c r="D38" i="8"/>
  <c r="F36" i="8"/>
  <c r="U42" i="8"/>
  <c r="V41" i="8"/>
  <c r="D37" i="8"/>
  <c r="G35" i="8"/>
  <c r="U41" i="8"/>
  <c r="V40" i="8"/>
  <c r="D36" i="8"/>
  <c r="F35" i="8"/>
  <c r="G43" i="8"/>
  <c r="U40" i="8"/>
  <c r="V39" i="8"/>
  <c r="L2" i="12"/>
  <c r="F43" i="8"/>
  <c r="G42" i="8"/>
  <c r="U39" i="8"/>
  <c r="V38" i="8"/>
  <c r="L36" i="12"/>
  <c r="D35" i="8"/>
  <c r="F42" i="8"/>
  <c r="G41" i="8"/>
  <c r="U38" i="8"/>
  <c r="V37" i="8"/>
  <c r="D43" i="8"/>
  <c r="F41" i="8"/>
  <c r="G40" i="8"/>
  <c r="U37" i="8"/>
  <c r="V36" i="8"/>
  <c r="D42" i="8"/>
  <c r="F40" i="8"/>
  <c r="G39" i="8"/>
  <c r="U36" i="8"/>
  <c r="D41" i="8"/>
  <c r="F39" i="8"/>
  <c r="G38" i="8"/>
  <c r="D40" i="8"/>
  <c r="F38" i="8"/>
  <c r="G37" i="8"/>
  <c r="U3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0" i="8" l="1"/>
  <c r="U51" i="8"/>
  <c r="F45" i="8"/>
  <c r="D48" i="8"/>
  <c r="V51" i="8"/>
  <c r="U52" i="8"/>
  <c r="G45" i="8"/>
  <c r="F46" i="8"/>
  <c r="D49" i="8"/>
  <c r="V52" i="8"/>
  <c r="U44" i="8"/>
  <c r="G46" i="8"/>
  <c r="F47" i="8"/>
  <c r="D50" i="8"/>
  <c r="V44" i="8"/>
  <c r="G47" i="8"/>
  <c r="F48" i="8"/>
  <c r="D51" i="8"/>
  <c r="U45" i="8"/>
  <c r="G48" i="8"/>
  <c r="F49" i="8"/>
  <c r="D52" i="8"/>
  <c r="V45" i="8"/>
  <c r="U46" i="8"/>
  <c r="G49" i="8"/>
  <c r="F50" i="8"/>
  <c r="D44" i="8"/>
  <c r="V46" i="8"/>
  <c r="U47" i="8"/>
  <c r="G50" i="8"/>
  <c r="F51" i="8"/>
  <c r="V47" i="8"/>
  <c r="U48" i="8"/>
  <c r="G51" i="8"/>
  <c r="F52" i="8"/>
  <c r="D45" i="8"/>
  <c r="V48" i="8"/>
  <c r="U49" i="8"/>
  <c r="G52" i="8"/>
  <c r="F44" i="8"/>
  <c r="D46" i="8"/>
  <c r="V49" i="8"/>
  <c r="U50" i="8"/>
  <c r="G44" i="8"/>
  <c r="D47" i="8"/>
</calcChain>
</file>

<file path=xl/sharedStrings.xml><?xml version="1.0" encoding="utf-8"?>
<sst xmlns="http://schemas.openxmlformats.org/spreadsheetml/2006/main" count="2622" uniqueCount="1567">
  <si>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</si>
  <si>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</si>
  <si>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</si>
  <si>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</si>
  <si>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</si>
  <si>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</si>
  <si>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</si>
  <si>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</si>
  <si>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</si>
  <si>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</si>
  <si>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</si>
  <si>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</si>
  <si>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</si>
  <si>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</si>
  <si>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</si>
  <si>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</si>
  <si>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</si>
  <si>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</si>
  <si>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</si>
  <si>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</si>
  <si>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</si>
  <si>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</si>
  <si>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</si>
  <si>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</si>
  <si>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</si>
  <si>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</si>
  <si>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</si>
  <si>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</si>
  <si>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</si>
  <si>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</si>
  <si>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</si>
  <si>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</si>
  <si>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</si>
  <si>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</si>
  <si>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</si>
  <si>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</si>
  <si>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</si>
  <si>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</si>
  <si>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</si>
  <si>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</si>
  <si>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</si>
  <si>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</si>
  <si>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</si>
  <si>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</si>
  <si>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</si>
  <si>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</si>
  <si>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</si>
  <si>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</si>
  <si>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</si>
  <si>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</si>
  <si>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</si>
  <si>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</si>
  <si>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</si>
  <si>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</si>
  <si>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</si>
  <si>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</si>
  <si>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</si>
  <si>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</si>
  <si>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</si>
  <si>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</si>
  <si>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</si>
  <si>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</si>
  <si>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</si>
  <si>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</si>
  <si>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</si>
  <si>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</si>
  <si>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</si>
  <si>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</si>
  <si>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</si>
  <si>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</si>
  <si>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</si>
  <si>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</si>
  <si>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</si>
  <si>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</si>
  <si>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</si>
  <si>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</si>
  <si>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</si>
  <si>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</si>
  <si>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</si>
  <si>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</si>
  <si>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</si>
  <si>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</si>
  <si>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</si>
  <si>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</si>
  <si>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</si>
  <si>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</si>
  <si>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</si>
  <si>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</si>
  <si>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</si>
  <si>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</si>
  <si>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</si>
  <si>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</si>
  <si>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</si>
  <si>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</si>
  <si>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</si>
  <si>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</si>
  <si>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</si>
  <si>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</si>
  <si>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</si>
  <si>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</si>
  <si>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</si>
  <si>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</si>
  <si>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</si>
  <si>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</si>
  <si>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</si>
  <si>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</si>
  <si>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</si>
  <si>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</si>
  <si>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</si>
  <si>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</si>
  <si>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</si>
  <si>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</si>
  <si>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</si>
  <si>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</si>
  <si>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</si>
  <si>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</si>
  <si>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</si>
  <si>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</si>
  <si>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</si>
  <si>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</si>
  <si>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</si>
  <si>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</si>
  <si>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</si>
  <si>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</si>
  <si>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</si>
  <si>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</si>
  <si>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</si>
  <si>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</si>
  <si>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</si>
  <si>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</si>
  <si>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</si>
  <si>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</si>
  <si>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</si>
  <si>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</si>
  <si>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</si>
  <si>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</si>
  <si>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</si>
  <si>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</si>
  <si>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</si>
  <si>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</si>
  <si>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</si>
  <si>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</si>
  <si>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</si>
  <si>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</si>
  <si>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</si>
  <si>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</si>
  <si>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</si>
  <si>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</si>
  <si>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</si>
  <si>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</si>
  <si>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</si>
  <si>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</si>
  <si>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</si>
  <si>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</si>
  <si>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</si>
  <si>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</si>
  <si>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</si>
  <si>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</si>
  <si>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</si>
  <si>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</si>
  <si>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</si>
  <si>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</si>
  <si>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</si>
  <si>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</si>
  <si>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</si>
  <si>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</si>
  <si>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</si>
  <si>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</si>
  <si>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</si>
  <si>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</si>
  <si>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</si>
  <si>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</si>
  <si>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</si>
  <si>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</si>
  <si>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</si>
  <si>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</si>
  <si>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</si>
  <si>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</si>
  <si>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</si>
  <si>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</si>
  <si>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</si>
  <si>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</si>
  <si>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</si>
  <si>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</si>
  <si>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</si>
  <si>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</si>
  <si>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</si>
  <si>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</si>
  <si>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</si>
  <si>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</si>
  <si>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</si>
  <si>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</si>
  <si>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</si>
  <si>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</si>
  <si>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</si>
  <si>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</si>
  <si>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</si>
  <si>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</si>
  <si>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</si>
  <si>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</si>
  <si>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</si>
  <si>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</si>
  <si>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</si>
  <si>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</si>
  <si>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</si>
  <si>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</si>
  <si>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</si>
  <si>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</si>
  <si>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</si>
  <si>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</si>
  <si>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</si>
  <si>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</si>
  <si>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</si>
  <si>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</si>
  <si>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</si>
  <si>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</si>
  <si>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</si>
  <si>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</si>
  <si>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</si>
  <si>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</si>
  <si>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</si>
  <si>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</si>
  <si>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</si>
  <si>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</si>
  <si>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</si>
  <si>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</si>
  <si>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</si>
  <si>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</si>
  <si>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</si>
  <si>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</si>
  <si>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</si>
  <si>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</si>
  <si>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</si>
  <si>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</si>
  <si>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</si>
  <si>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</si>
  <si>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</si>
  <si>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</si>
  <si>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</si>
  <si>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</si>
  <si>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</si>
  <si>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</si>
  <si>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</si>
  <si>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</si>
  <si>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</si>
  <si>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</si>
  <si>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</si>
  <si>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</si>
  <si>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</si>
  <si>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</si>
  <si>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</si>
  <si>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</si>
  <si>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</si>
  <si>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</si>
  <si>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</si>
  <si>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</si>
  <si>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</si>
  <si>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</si>
  <si>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</si>
  <si>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</si>
  <si>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</si>
  <si>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</si>
  <si>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</si>
  <si>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</si>
  <si>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</si>
  <si>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</si>
  <si>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</si>
  <si>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</si>
  <si>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</si>
  <si>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</si>
  <si>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</si>
  <si>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</si>
  <si>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</si>
  <si>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</si>
  <si>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</si>
  <si>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</si>
  <si>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</si>
  <si>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</si>
  <si>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</si>
  <si>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</si>
  <si>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</si>
  <si>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</si>
  <si>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</si>
  <si>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</si>
  <si>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</si>
  <si>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</si>
  <si>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</si>
  <si>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</si>
  <si>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</si>
  <si>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</si>
  <si>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</si>
  <si>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</si>
  <si>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</si>
  <si>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</si>
  <si>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</si>
  <si>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</si>
  <si>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</si>
  <si>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</si>
  <si>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</si>
  <si>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</si>
  <si>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</si>
  <si>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</si>
  <si>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</si>
  <si>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</si>
  <si>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</si>
  <si>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</si>
  <si>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</si>
  <si>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</si>
  <si>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</si>
  <si>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</si>
  <si>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</si>
  <si>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</si>
  <si>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</si>
  <si>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</si>
  <si>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</si>
  <si>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</si>
  <si>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</si>
  <si>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</si>
  <si>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</si>
  <si>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</si>
  <si>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</si>
  <si>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</si>
  <si>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</si>
  <si>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</si>
  <si>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</si>
  <si>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</si>
  <si>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</si>
  <si>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</si>
  <si>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</si>
  <si>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</si>
  <si>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</si>
  <si>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</si>
  <si>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</si>
  <si>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</si>
  <si>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</si>
  <si>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</si>
  <si>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</si>
  <si>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</si>
  <si>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</si>
  <si>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</si>
  <si>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</si>
  <si>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</si>
  <si>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</si>
  <si>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</si>
  <si>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</si>
  <si>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</si>
  <si>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</si>
  <si>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</si>
  <si>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</si>
  <si>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</si>
  <si>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</si>
  <si>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</si>
  <si>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</si>
  <si>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</si>
  <si>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</si>
  <si>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</si>
  <si>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</si>
  <si>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</si>
  <si>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</si>
  <si>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</si>
  <si>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</si>
  <si>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</si>
  <si>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</si>
  <si>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</si>
  <si>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</si>
  <si>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</si>
  <si>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</si>
  <si>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</si>
  <si>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</si>
  <si>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</si>
  <si>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</si>
  <si>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</si>
  <si>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</si>
  <si>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</si>
  <si>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</si>
  <si>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</si>
  <si>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</si>
  <si>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</si>
  <si>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</si>
  <si>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</si>
  <si>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</si>
  <si>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</si>
  <si>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</si>
  <si>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</si>
  <si>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</si>
  <si>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</si>
  <si>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</si>
  <si>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</si>
  <si>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</si>
  <si>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</si>
  <si>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</si>
  <si>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</si>
  <si>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</si>
  <si>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</si>
  <si>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</si>
  <si>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</si>
  <si>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</si>
  <si>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</si>
  <si>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</si>
  <si>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</si>
  <si>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</si>
  <si>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</si>
  <si>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</si>
  <si>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</si>
  <si>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</si>
  <si>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</si>
  <si>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</si>
  <si>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</si>
  <si>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</si>
  <si>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</si>
  <si>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</si>
  <si>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</si>
  <si>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</si>
  <si>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</si>
  <si>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</si>
  <si>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</si>
  <si>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</si>
  <si>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</si>
  <si>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</si>
  <si>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</si>
  <si>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</si>
  <si>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</si>
  <si>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</si>
  <si>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</si>
  <si>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</si>
  <si>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</si>
  <si>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</si>
  <si>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</si>
  <si>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</si>
  <si>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</si>
  <si>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</si>
  <si>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</si>
  <si>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</si>
  <si>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</si>
  <si>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</si>
  <si>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</si>
  <si>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</si>
  <si>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</si>
  <si>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</si>
  <si>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</si>
  <si>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</si>
  <si>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</si>
  <si>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</si>
  <si>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</si>
  <si>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</si>
  <si>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</si>
  <si>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</si>
  <si>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</si>
  <si>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</si>
  <si>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</si>
  <si>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</si>
  <si>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</si>
  <si>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</si>
  <si>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</si>
  <si>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</si>
  <si>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</si>
  <si>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</si>
  <si>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</si>
  <si>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</si>
  <si>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</si>
  <si>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</si>
  <si>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</si>
  <si>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</si>
  <si>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</si>
  <si>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</si>
  <si>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</si>
  <si>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</si>
  <si>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</si>
  <si>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</si>
  <si>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</si>
  <si>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</si>
  <si>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</si>
  <si>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</si>
  <si>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</si>
  <si>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</si>
  <si>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</si>
  <si>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</si>
  <si>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</si>
  <si>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</si>
  <si>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</si>
  <si>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</si>
  <si>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</si>
  <si>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</si>
  <si>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</si>
  <si>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</si>
  <si>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</si>
  <si>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</si>
  <si>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</si>
  <si>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</si>
  <si>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</si>
  <si>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</si>
  <si>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</si>
  <si>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</si>
  <si>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</si>
  <si>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</si>
  <si>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</si>
  <si>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</si>
  <si>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</si>
  <si>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</si>
  <si>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</si>
  <si>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</si>
  <si>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</si>
  <si>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</si>
  <si>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</si>
  <si>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</si>
  <si>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</si>
  <si>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</si>
  <si>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</si>
  <si>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</si>
  <si>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</si>
  <si>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</si>
  <si>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</si>
  <si>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</si>
  <si>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</si>
  <si>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</si>
  <si>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</si>
  <si>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</si>
  <si>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</si>
  <si>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</si>
  <si>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</si>
  <si>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</si>
  <si>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</si>
  <si>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</si>
  <si>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</si>
  <si>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</si>
  <si>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</si>
  <si>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</si>
  <si>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</si>
  <si>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</si>
  <si>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</si>
  <si>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</si>
  <si>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</si>
  <si>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</si>
  <si>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</si>
  <si>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</si>
  <si>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</si>
  <si>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</si>
  <si>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</si>
  <si>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</si>
  <si>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</si>
  <si>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</si>
  <si>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</si>
  <si>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</si>
  <si>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</si>
  <si>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</si>
  <si>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</si>
  <si>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</si>
  <si>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</si>
  <si>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</si>
  <si>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</si>
  <si>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</si>
  <si>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</si>
  <si>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</si>
  <si>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</si>
  <si>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</si>
  <si>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</si>
  <si>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</si>
  <si>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</si>
  <si>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</si>
  <si>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</si>
  <si>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</si>
  <si>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</si>
  <si>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</si>
  <si>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</si>
  <si>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</si>
  <si>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</si>
  <si>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</si>
  <si>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</si>
  <si>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</si>
  <si>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</si>
  <si>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</si>
  <si>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</si>
  <si>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</si>
  <si>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</si>
  <si>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</si>
  <si>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</si>
  <si>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</si>
  <si>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</si>
  <si>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</si>
  <si>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</si>
  <si>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</si>
  <si>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</si>
  <si>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</si>
  <si>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</si>
  <si>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</si>
  <si>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</si>
  <si>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</si>
  <si>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</si>
  <si>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</si>
  <si>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</si>
  <si>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</si>
  <si>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</si>
  <si>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</si>
  <si>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</si>
  <si>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</si>
  <si>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</si>
  <si>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</si>
  <si>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</si>
  <si>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</si>
  <si>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</si>
  <si>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</si>
  <si>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</si>
  <si>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</si>
  <si>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</si>
  <si>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</si>
  <si>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</si>
  <si>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</si>
  <si>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</si>
  <si>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</si>
  <si>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</si>
  <si>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</si>
  <si>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</si>
  <si>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</si>
  <si>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</si>
  <si>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</si>
  <si>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</si>
  <si>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</si>
  <si>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</si>
  <si>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</si>
  <si>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</si>
  <si>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</si>
  <si>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</si>
  <si>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</si>
  <si>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</si>
  <si>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</si>
  <si>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</si>
  <si>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</si>
  <si>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</si>
  <si>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</si>
  <si>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</si>
  <si>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</si>
  <si>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</si>
  <si>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</si>
  <si>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</si>
  <si>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</si>
  <si>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</si>
  <si>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</si>
  <si>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</si>
  <si>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</si>
  <si>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</si>
  <si>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</si>
  <si>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</si>
  <si>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</si>
  <si>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</si>
  <si>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</si>
  <si>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</si>
  <si>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</si>
  <si>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</si>
  <si>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</si>
  <si>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</si>
  <si>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</si>
  <si>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</si>
  <si>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</si>
  <si>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</si>
  <si>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</si>
  <si>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</si>
  <si>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</si>
  <si>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</si>
  <si>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</si>
  <si>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</si>
  <si>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</si>
  <si>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</si>
  <si>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</si>
  <si>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</si>
  <si>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</si>
  <si>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</si>
  <si>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</si>
  <si>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</si>
  <si>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</si>
  <si>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</si>
  <si>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</si>
  <si>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</si>
  <si>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</si>
  <si>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</si>
  <si>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</si>
  <si>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</si>
  <si>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</si>
  <si>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</si>
  <si>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</si>
  <si>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</si>
  <si>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</si>
  <si>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</si>
  <si>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</si>
  <si>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</si>
  <si>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</si>
  <si>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</si>
  <si>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</si>
  <si>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</si>
  <si>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</si>
  <si>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</si>
  <si>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</si>
  <si>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</si>
  <si>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</si>
  <si>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</si>
  <si>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</si>
  <si>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</si>
  <si>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</si>
  <si>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</si>
  <si>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</si>
  <si>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</si>
  <si>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</si>
  <si>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</si>
  <si>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</si>
  <si>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</si>
  <si>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</si>
  <si>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</si>
  <si>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</si>
  <si>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</si>
  <si>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</si>
  <si>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</si>
  <si>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</si>
  <si>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</si>
  <si>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</si>
  <si>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</si>
  <si>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</si>
  <si>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</si>
  <si>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</si>
  <si>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</si>
  <si>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</si>
  <si>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</si>
  <si>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</si>
  <si>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</si>
  <si>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</si>
  <si>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</si>
  <si>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</si>
  <si>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</si>
  <si>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</si>
  <si>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</si>
  <si>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</si>
  <si>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</si>
  <si>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</si>
  <si>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</si>
  <si>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</si>
  <si>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</si>
  <si>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</si>
  <si>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</si>
  <si>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</si>
  <si>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</si>
  <si>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</si>
  <si>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</si>
  <si>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</si>
  <si>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</si>
  <si>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</si>
  <si>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</si>
  <si>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</si>
  <si>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</si>
  <si>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</si>
  <si>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</si>
  <si>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</si>
  <si>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</si>
  <si>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</si>
  <si>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</si>
  <si>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</si>
  <si>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</si>
  <si>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</si>
  <si>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</si>
  <si>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</si>
  <si>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</si>
  <si>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</si>
  <si>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</si>
  <si>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</si>
  <si>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</si>
  <si>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</si>
  <si>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</si>
  <si>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</si>
  <si>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</si>
  <si>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</si>
  <si>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</si>
  <si>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</si>
  <si>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</si>
  <si>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</si>
  <si>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</si>
  <si>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</si>
  <si>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</si>
  <si>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</si>
  <si>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</si>
  <si>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</si>
  <si>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</si>
  <si>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</si>
  <si>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</si>
  <si>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</si>
  <si>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</si>
  <si>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</si>
  <si>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</si>
  <si>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</si>
  <si>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</si>
  <si>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</si>
  <si>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</si>
  <si>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</si>
  <si>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</si>
  <si>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</si>
  <si>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</si>
  <si>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</si>
  <si>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</si>
  <si>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</si>
  <si>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</si>
  <si>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</si>
  <si>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</si>
  <si>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</si>
  <si>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</si>
  <si>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</si>
  <si>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</si>
  <si>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</si>
  <si>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</si>
  <si>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</si>
  <si>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</si>
  <si>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</si>
  <si>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</si>
  <si>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</si>
  <si>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</si>
  <si>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</si>
  <si>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</si>
  <si>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</si>
  <si>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</si>
  <si>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</si>
  <si>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</si>
  <si>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</si>
  <si>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</si>
  <si>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</si>
  <si>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</si>
  <si>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</si>
  <si>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</si>
  <si>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</si>
  <si>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</si>
  <si>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</si>
  <si>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</si>
  <si>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</si>
  <si>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</si>
  <si>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</si>
  <si>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</si>
  <si>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</si>
  <si>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</si>
  <si>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</si>
  <si>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</si>
  <si>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</si>
  <si>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</si>
  <si>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</si>
  <si>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</si>
  <si>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</si>
  <si>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</si>
  <si>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</si>
  <si>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</si>
  <si>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</si>
  <si>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</si>
  <si>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</si>
  <si>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</si>
  <si>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</si>
  <si>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</si>
  <si>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</si>
  <si>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</si>
  <si>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</si>
  <si>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</si>
  <si>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</si>
  <si>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</si>
  <si>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</si>
  <si>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</si>
  <si>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</si>
  <si>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</si>
  <si>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</si>
  <si>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</si>
  <si>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</si>
  <si>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</si>
  <si>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</si>
  <si>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</si>
  <si>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</si>
  <si>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</si>
  <si>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</si>
  <si>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</si>
  <si>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</si>
  <si>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</si>
  <si>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</si>
  <si>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</si>
  <si>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</si>
  <si>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</si>
  <si>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</si>
  <si>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</si>
  <si>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</si>
  <si>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</si>
  <si>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</si>
  <si>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</si>
  <si>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</si>
  <si>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</si>
  <si>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</si>
  <si>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</si>
  <si>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</si>
  <si>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</si>
  <si>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</si>
  <si>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</si>
  <si>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</si>
  <si>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</si>
  <si>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</si>
  <si>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</si>
  <si>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</si>
  <si>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</si>
  <si>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</si>
  <si>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</si>
  <si>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</si>
  <si>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</si>
  <si>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</si>
  <si>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</si>
  <si>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</si>
  <si>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</si>
  <si>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</si>
  <si>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</si>
  <si>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</si>
  <si>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</si>
  <si>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</si>
  <si>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</si>
  <si>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</si>
  <si>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</si>
  <si>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</si>
  <si>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</si>
  <si>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</si>
  <si>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</si>
  <si>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</si>
  <si>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</si>
  <si>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</si>
  <si>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</si>
  <si>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</si>
  <si>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</si>
  <si>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</si>
  <si>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</si>
  <si>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</si>
  <si>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</si>
  <si>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</si>
  <si>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</si>
  <si>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</si>
  <si>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</si>
  <si>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</si>
  <si>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</si>
  <si>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</si>
  <si>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</si>
  <si>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</si>
  <si>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</si>
  <si>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</si>
  <si>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</si>
  <si>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</si>
  <si>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</si>
  <si>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</si>
  <si>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</si>
  <si>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</si>
  <si>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</si>
  <si>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</si>
  <si>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</si>
  <si>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</si>
  <si>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</si>
  <si>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</si>
  <si>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</si>
  <si>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</si>
  <si>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</si>
  <si>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</si>
  <si>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</si>
  <si>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</si>
  <si>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</si>
  <si>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</si>
  <si>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</si>
  <si>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</si>
  <si>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</si>
  <si>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</si>
  <si>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</si>
  <si>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</si>
  <si>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</si>
  <si>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</si>
  <si>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</si>
  <si>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</si>
  <si>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</si>
  <si>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</si>
  <si>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</si>
  <si>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</si>
  <si>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</si>
  <si>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</si>
  <si>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</si>
  <si>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</si>
  <si>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</si>
  <si>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</si>
  <si>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</si>
  <si>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</si>
  <si>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</si>
  <si>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</si>
  <si>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</si>
  <si>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</si>
  <si>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</si>
  <si>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</si>
  <si>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</si>
  <si>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</si>
  <si>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</si>
  <si>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</si>
  <si>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</si>
  <si>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</si>
  <si>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</si>
  <si>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</si>
  <si>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</si>
  <si>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</si>
  <si>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</si>
  <si>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</si>
  <si>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</si>
  <si>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</si>
  <si>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</si>
  <si>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</si>
  <si>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</si>
  <si>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</si>
  <si>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</si>
  <si>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</si>
  <si>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</si>
  <si>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</si>
  <si>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</si>
  <si>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</si>
  <si>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</si>
  <si>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</si>
  <si>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</si>
  <si>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</si>
  <si>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</si>
  <si>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</si>
  <si>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</si>
  <si>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</si>
  <si>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</si>
  <si>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</si>
  <si>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</si>
  <si>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</si>
  <si>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</si>
  <si>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</si>
  <si>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</si>
  <si>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</si>
  <si>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</si>
  <si>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</si>
  <si>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</si>
  <si>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</si>
  <si>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</si>
  <si>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</si>
  <si>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</si>
  <si>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</si>
  <si>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</si>
  <si>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</si>
  <si>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</si>
  <si>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</si>
  <si>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</si>
  <si>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</si>
  <si>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</si>
  <si>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</si>
  <si>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</si>
  <si>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</si>
  <si>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</si>
  <si>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</si>
  <si>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</si>
  <si>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</si>
  <si>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</si>
  <si>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</si>
  <si>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</si>
  <si>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</si>
  <si>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</si>
  <si>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</si>
  <si>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</si>
  <si>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</si>
  <si>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</si>
  <si>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</si>
  <si>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</si>
  <si>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</si>
  <si>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</si>
  <si>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</si>
  <si>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</si>
  <si>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</si>
  <si>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</si>
  <si>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</si>
  <si>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</si>
  <si>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</si>
  <si>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</si>
  <si>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</si>
  <si>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</si>
  <si>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</si>
  <si>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</si>
  <si>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</si>
  <si>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</si>
  <si>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</si>
  <si>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</si>
  <si>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</si>
  <si>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</si>
  <si>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</si>
  <si>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</si>
  <si>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</si>
  <si>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</si>
  <si>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</si>
  <si>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</si>
  <si>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</si>
  <si>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</si>
  <si>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</si>
  <si>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</si>
  <si>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</si>
  <si>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</si>
  <si>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</si>
  <si>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</si>
  <si>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</si>
  <si>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</si>
  <si>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</si>
  <si>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</si>
  <si>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</si>
  <si>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</si>
  <si>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</si>
  <si>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</si>
  <si>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</si>
  <si>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</si>
  <si>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</si>
  <si>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</si>
  <si>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</si>
  <si>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</si>
  <si>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</si>
  <si>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</si>
  <si>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</si>
  <si>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</si>
  <si>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</si>
  <si>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</si>
  <si>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</si>
  <si>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</si>
  <si>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</si>
  <si>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</si>
  <si>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</si>
  <si>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</si>
  <si>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</si>
  <si>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</si>
  <si>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</si>
  <si>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</si>
  <si>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</si>
  <si>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</si>
  <si>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</si>
  <si>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</si>
  <si>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</si>
  <si>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</si>
  <si>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</si>
  <si>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</si>
  <si>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</si>
  <si>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</si>
  <si>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</si>
  <si>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</si>
  <si>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</si>
  <si>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</si>
  <si>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</si>
  <si>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</si>
  <si>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</si>
  <si>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</si>
  <si>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</si>
  <si>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</si>
  <si>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</si>
  <si>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</si>
  <si>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</si>
  <si>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</si>
  <si>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</si>
  <si>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</si>
  <si>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</si>
  <si>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</si>
  <si>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</si>
  <si>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</si>
  <si>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</si>
  <si>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</si>
  <si>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</si>
  <si>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</si>
  <si>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</si>
  <si>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</si>
  <si>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</si>
  <si>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</si>
  <si>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</si>
  <si>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</si>
  <si>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</si>
  <si>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</si>
  <si>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</si>
  <si>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</si>
  <si>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</si>
  <si>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</si>
  <si>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</si>
  <si>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</si>
  <si>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</si>
  <si>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</si>
  <si>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</si>
  <si>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</si>
  <si>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</si>
  <si>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</si>
  <si>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</si>
  <si>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</si>
  <si>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</si>
  <si>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</si>
  <si>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</si>
  <si>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</si>
  <si>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</si>
  <si>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</si>
  <si>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</si>
  <si>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</si>
  <si>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</si>
  <si>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</si>
  <si>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</si>
  <si>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</si>
  <si>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</si>
  <si>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</si>
  <si>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</si>
  <si>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</si>
  <si>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</si>
  <si>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</si>
  <si>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</si>
  <si>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</si>
  <si>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</si>
  <si>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</si>
  <si>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</si>
  <si>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</si>
  <si>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</si>
  <si>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</si>
  <si>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</si>
  <si>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</si>
  <si>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</si>
  <si>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</si>
  <si>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</si>
  <si>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</si>
  <si>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</si>
  <si>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</si>
  <si>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</si>
  <si>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</si>
  <si>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</si>
  <si>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</si>
  <si>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</si>
  <si>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</si>
  <si>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</si>
  <si>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</si>
  <si>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</si>
  <si>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</si>
  <si>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</si>
  <si>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</si>
  <si>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</si>
  <si>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</si>
  <si>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</si>
  <si>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</si>
  <si>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</si>
  <si>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</si>
  <si>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</si>
  <si>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</si>
  <si>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</si>
  <si>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</si>
  <si>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</si>
  <si>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</si>
  <si>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</si>
  <si>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</si>
  <si>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</si>
  <si>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</si>
  <si>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</si>
  <si>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</si>
  <si>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</si>
  <si>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</si>
  <si>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</si>
  <si>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</si>
  <si>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</si>
  <si>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</si>
  <si>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</si>
  <si>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</si>
  <si>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</si>
  <si>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</si>
  <si>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</si>
  <si>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</si>
  <si>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</si>
  <si>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</si>
  <si>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</si>
  <si>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</si>
  <si>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</si>
  <si>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</si>
  <si>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</si>
  <si>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</si>
  <si>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</si>
  <si>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</si>
  <si>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</si>
  <si>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</si>
  <si>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</si>
  <si>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</si>
  <si>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</si>
  <si>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</si>
  <si>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</si>
  <si>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</si>
  <si>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</si>
  <si>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</si>
  <si>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</si>
  <si>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</si>
  <si>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</si>
  <si>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</si>
  <si>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</si>
  <si>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</si>
  <si>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</si>
  <si>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</si>
  <si>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</si>
  <si>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</si>
  <si>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</si>
  <si>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</si>
  <si>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</si>
  <si>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</si>
  <si>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</si>
  <si>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</si>
  <si>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</si>
  <si>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</si>
  <si>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</si>
  <si>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</si>
  <si>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</si>
  <si>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</si>
  <si>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</si>
  <si>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</si>
  <si>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</si>
  <si>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</si>
  <si>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</si>
  <si>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</si>
  <si>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</si>
  <si>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</si>
  <si>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</si>
  <si>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</si>
  <si>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</si>
  <si>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</si>
  <si>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</si>
  <si>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</si>
  <si>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</si>
  <si>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</si>
  <si>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</si>
  <si>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</si>
  <si>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</si>
  <si>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</si>
  <si>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</si>
  <si>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</si>
  <si>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</si>
  <si>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</si>
  <si>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</si>
  <si>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</si>
  <si>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</si>
  <si>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</si>
  <si>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</si>
  <si>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</si>
  <si>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</si>
  <si>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</si>
  <si>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</si>
  <si>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</si>
  <si>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</si>
  <si>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</si>
  <si>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</si>
  <si>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</si>
  <si>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</si>
  <si>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</si>
  <si>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</si>
  <si>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</si>
  <si>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</si>
  <si>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</si>
  <si>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</si>
  <si>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</si>
  <si>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</si>
  <si>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</si>
  <si>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</si>
  <si>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</si>
  <si>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</si>
  <si>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</si>
  <si>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</si>
  <si>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</si>
  <si>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</si>
  <si>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</si>
  <si>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</si>
  <si>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</si>
  <si>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</si>
  <si>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</si>
  <si>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</si>
  <si>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</si>
  <si>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</si>
  <si>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</si>
  <si>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</si>
  <si>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</si>
  <si>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</si>
  <si>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</si>
  <si>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</si>
  <si>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</si>
  <si>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</si>
  <si>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</si>
  <si>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</si>
  <si>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</si>
  <si>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</si>
  <si>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</si>
  <si>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</si>
  <si>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</si>
  <si>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</si>
  <si>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</si>
  <si>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</si>
  <si>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</si>
  <si>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</si>
  <si>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</si>
  <si>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</si>
  <si>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</si>
  <si>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</si>
  <si>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</si>
  <si>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</si>
  <si>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</si>
  <si>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</si>
  <si>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</si>
  <si>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</si>
  <si>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</si>
  <si>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</si>
  <si>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</si>
  <si>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</si>
  <si>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</si>
  <si>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</si>
  <si>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</si>
  <si>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</si>
  <si>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</si>
  <si>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</si>
  <si>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</si>
  <si>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</si>
  <si>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</si>
  <si>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</si>
  <si>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</si>
  <si>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</si>
  <si>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</si>
  <si>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</si>
  <si>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</si>
  <si>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</si>
  <si>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</si>
  <si>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</si>
  <si>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</si>
  <si>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</si>
  <si>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</si>
  <si>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</si>
  <si>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</si>
  <si>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</si>
  <si>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</si>
  <si>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</si>
  <si>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</si>
  <si>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</si>
  <si>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</si>
  <si>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</si>
  <si>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</si>
  <si>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</si>
  <si>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</si>
  <si>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</si>
  <si>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</si>
  <si>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</si>
  <si>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</si>
  <si>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</si>
  <si>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</si>
  <si>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</si>
  <si>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</si>
  <si>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</si>
  <si>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</si>
  <si>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</si>
  <si>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</si>
  <si>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</si>
  <si>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</si>
  <si>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</si>
  <si>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</si>
  <si>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</si>
  <si>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</si>
  <si>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</si>
  <si>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</si>
  <si>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</si>
  <si>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</si>
  <si>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</si>
  <si>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</si>
  <si>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</si>
  <si>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</si>
  <si>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</si>
  <si>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</si>
  <si>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</si>
  <si>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</si>
  <si>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</si>
  <si>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</si>
  <si>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</si>
  <si>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</si>
  <si>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</si>
  <si>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</si>
  <si>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</si>
  <si>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</si>
  <si>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</si>
  <si>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</si>
  <si>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</si>
  <si>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</si>
  <si>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</si>
  <si>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</si>
  <si>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</si>
  <si>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</si>
  <si>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</t>
  </si>
  <si>
    <t>number</t>
  </si>
  <si>
    <t>common_data_type</t>
  </si>
  <si>
    <t>登録データタイプ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</si>
  <si>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</si>
  <si>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</si>
  <si>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</si>
  <si>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</si>
  <si>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</si>
  <si>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</si>
  <si>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</si>
  <si>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</si>
  <si>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</si>
  <si>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experiments</t>
  </si>
  <si>
    <t>RDEDatasetTemplateSheet_RDE_WAVELET_TRANSFORM_CHARACTERIZATION</t>
    <phoneticPr fontId="2"/>
  </si>
  <si>
    <t>標準データセットテンプレートRDE_WAVELET_TRANSFORM_CHARACTERIZATION用RDEデータセットテンプレート</t>
    <rPh sb="0" eb="2">
      <t xml:space="preserve">ヒョウジュン </t>
    </rPh>
    <phoneticPr fontId="2"/>
  </si>
  <si>
    <t>ms_mean</t>
  </si>
  <si>
    <t>輝度平均</t>
  </si>
  <si>
    <t>Brightness Mean</t>
  </si>
  <si>
    <t>ms_std</t>
  </si>
  <si>
    <t>輝度標準偏差</t>
  </si>
  <si>
    <t>Brightness Standard Deviation</t>
  </si>
  <si>
    <t>ms_kurtosis</t>
  </si>
  <si>
    <t>輝度歪度</t>
  </si>
  <si>
    <t>Brightness Skewness</t>
  </si>
  <si>
    <t>ms_skewness</t>
  </si>
  <si>
    <t>輝度尖度</t>
  </si>
  <si>
    <t>Brightness Kurtosis</t>
  </si>
  <si>
    <t>ss_residual_highpass</t>
  </si>
  <si>
    <t>ハイパスフィルター特徴量</t>
  </si>
  <si>
    <t>Highpass Filter Feature</t>
  </si>
  <si>
    <t>ss_residual_lowpass</t>
  </si>
  <si>
    <t>ローパスフィルター特徴量</t>
  </si>
  <si>
    <t>Lowpass Filter Feature</t>
  </si>
  <si>
    <t>s_0</t>
  </si>
  <si>
    <t>スケール0のスペクトル統計量</t>
  </si>
  <si>
    <t>Scale-0 Spectrum Statistics</t>
  </si>
  <si>
    <t>s_1</t>
  </si>
  <si>
    <t>スケール1のスペクトル統計量</t>
  </si>
  <si>
    <t>Scale-1 Spectrum Statistics</t>
  </si>
  <si>
    <t>s_2</t>
  </si>
  <si>
    <t>スケール2のスペクトル統計量</t>
  </si>
  <si>
    <t>Scale-2 Spectrum Statistics</t>
  </si>
  <si>
    <t>s_3</t>
  </si>
  <si>
    <t>スケール3のスペクトル統計量</t>
  </si>
  <si>
    <t>Scale-3 Spectrum Statistics</t>
  </si>
  <si>
    <t>s_4</t>
  </si>
  <si>
    <t>スケール4のスペクトル統計量</t>
  </si>
  <si>
    <t>Scale-4 Spectrum Statistics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</si>
  <si>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</si>
  <si>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</si>
  <si>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</si>
  <si>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</si>
  <si>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</si>
  <si>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</si>
  <si>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</si>
  <si>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</si>
  <si>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</si>
  <si>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</si>
  <si>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Data type</t>
  </si>
  <si>
    <t>list</t>
  </si>
  <si>
    <t>calculation_calculation_method</t>
  </si>
  <si>
    <t>計算方法</t>
  </si>
  <si>
    <t>Calculation method</t>
  </si>
  <si>
    <t>calculation_supercom_or_pc</t>
  </si>
  <si>
    <t>SuperComまたはPC</t>
  </si>
  <si>
    <t>SuperCom or PC</t>
  </si>
  <si>
    <t>calculation_os</t>
  </si>
  <si>
    <t>オペレーティングシステム</t>
  </si>
  <si>
    <t>OS</t>
  </si>
  <si>
    <t>calculation_software_name</t>
  </si>
  <si>
    <t>ソフトウェア名称</t>
  </si>
  <si>
    <t>Software name</t>
  </si>
  <si>
    <t>calculation_software_version</t>
  </si>
  <si>
    <t>ソフトウェアバージョン</t>
  </si>
  <si>
    <t>Software version</t>
  </si>
  <si>
    <t>calculation_software_reference</t>
  </si>
  <si>
    <t>ソフトウェア参照</t>
  </si>
  <si>
    <t>Software reference</t>
  </si>
  <si>
    <t>calculation_operator</t>
  </si>
  <si>
    <t>計算実行者</t>
  </si>
  <si>
    <t>Operator</t>
  </si>
  <si>
    <t>calculation_calculated_date</t>
  </si>
  <si>
    <t>計算日</t>
  </si>
  <si>
    <t>Calculated date</t>
  </si>
  <si>
    <t>calculation_material_name</t>
  </si>
  <si>
    <t>calculation_key_object</t>
  </si>
  <si>
    <t>キーの配列/計算される主な物性</t>
  </si>
  <si>
    <t>Key object</t>
  </si>
  <si>
    <t>wavelet characterization</t>
  </si>
  <si>
    <t>calculation</t>
  </si>
  <si>
    <t>azure cloud</t>
  </si>
  <si>
    <t>canonical 0001-com-ubuntu-server-focal 20_04-lts</t>
  </si>
  <si>
    <t>RDE</t>
  </si>
  <si>
    <t>experiments, informatics and data science, simulations, theory, other</t>
    <phoneticPr fontId="2"/>
  </si>
  <si>
    <t>登録日から自動取得します</t>
  </si>
  <si>
    <t>Automatically get from the registration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</si>
</sst>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13" sqref="B13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1484</v>
      </c>
      <c r="C1" s="22" t="s">
        <v>1384</v>
      </c>
    </row>
    <row r="2" spans="1:3" ht="18">
      <c r="A2" s="1" t="s">
        <v>1385</v>
      </c>
      <c r="B2" s="9" t="s">
        <v>1484</v>
      </c>
      <c r="C2" s="22" t="s">
        <v>1384</v>
      </c>
    </row>
    <row r="3" spans="1:3" ht="18">
      <c r="A3" s="1" t="s">
        <v>1386</v>
      </c>
      <c r="B3" s="9" t="s">
        <v>1484</v>
      </c>
      <c r="C3" s="22" t="s">
        <v>1387</v>
      </c>
    </row>
    <row r="4" spans="1:3">
      <c r="A4" s="1" t="s">
        <v>1388</v>
      </c>
      <c r="B4" s="22" t="s">
        <v>1485</v>
      </c>
      <c r="C4" s="22"/>
    </row>
    <row r="5" spans="1:3" ht="18">
      <c r="A5" s="21"/>
    </row>
    <row r="6" spans="1:3">
      <c r="A6" s="1" t="s">
        <v>1389</v>
      </c>
      <c r="B6" s="30">
        <v>46027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46027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6"/>
  <sheetViews>
    <sheetView zoomScale="85" zoomScaleNormal="85"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M3" sqref="M3:M15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 ht="16" customHeight="1">
      <c r="A3" s="41" t="s">
        <v>1429</v>
      </c>
      <c r="B3" s="3" t="s">
        <v>1404</v>
      </c>
      <c r="C3" s="9" t="s">
        <v>1486</v>
      </c>
      <c r="D3" s="5"/>
      <c r="E3" s="5"/>
      <c r="F3" s="5"/>
      <c r="G3" s="4" t="s">
        <v>1487</v>
      </c>
      <c r="H3" s="4" t="s">
        <v>1488</v>
      </c>
      <c r="I3" s="5"/>
      <c r="J3" s="6" t="s">
        <v>1471</v>
      </c>
      <c r="K3" s="23" t="str">
        <f>_xlfn.IFS(J3="integer","integer",J3="number","number",J3="array","array",J3="boolean","boolean",TRUE,"string")</f>
        <v>number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1404</v>
      </c>
      <c r="C4" s="9" t="s">
        <v>1489</v>
      </c>
      <c r="D4" s="5"/>
      <c r="E4" s="5"/>
      <c r="F4" s="5"/>
      <c r="G4" s="4" t="s">
        <v>1490</v>
      </c>
      <c r="H4" s="4" t="s">
        <v>1491</v>
      </c>
      <c r="I4" s="5"/>
      <c r="J4" s="6" t="s">
        <v>1471</v>
      </c>
      <c r="K4" s="23" t="str">
        <f t="shared" ref="K4:K15" si="0">_xlfn.IFS(J4="integer","integer",J4="number","number",J4="array","array",J4="boolean","boolean",TRUE,"string")</f>
        <v>number</v>
      </c>
      <c r="L4" s="23" t="str">
        <f t="shared" ref="L4:L15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1404</v>
      </c>
      <c r="C5" s="9" t="s">
        <v>1492</v>
      </c>
      <c r="D5" s="5"/>
      <c r="E5" s="5"/>
      <c r="F5" s="5"/>
      <c r="G5" s="4" t="s">
        <v>1493</v>
      </c>
      <c r="H5" s="4" t="s">
        <v>1494</v>
      </c>
      <c r="I5" s="5"/>
      <c r="J5" s="6" t="s">
        <v>1471</v>
      </c>
      <c r="K5" s="23" t="str">
        <f t="shared" ref="K5:K14" si="2">_xlfn.IFS(J5="integer","integer",J5="number","number",J5="array","array",J5="boolean","boolean",TRUE,"string")</f>
        <v>number</v>
      </c>
      <c r="L5" s="23" t="str">
        <f t="shared" ref="L5:L14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1404</v>
      </c>
      <c r="C6" s="9" t="s">
        <v>1495</v>
      </c>
      <c r="D6" s="5"/>
      <c r="E6" s="5"/>
      <c r="F6" s="5"/>
      <c r="G6" s="4" t="s">
        <v>1496</v>
      </c>
      <c r="H6" s="4" t="s">
        <v>1497</v>
      </c>
      <c r="I6" s="5"/>
      <c r="J6" s="6" t="s">
        <v>1471</v>
      </c>
      <c r="K6" s="23" t="str">
        <f t="shared" si="2"/>
        <v>number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1404</v>
      </c>
      <c r="C7" s="9" t="s">
        <v>1498</v>
      </c>
      <c r="D7" s="5"/>
      <c r="E7" s="5"/>
      <c r="F7" s="5"/>
      <c r="G7" s="4" t="s">
        <v>1499</v>
      </c>
      <c r="H7" s="4" t="s">
        <v>1500</v>
      </c>
      <c r="I7" s="5"/>
      <c r="J7" s="6" t="s">
        <v>1471</v>
      </c>
      <c r="K7" s="23" t="str">
        <f t="shared" si="2"/>
        <v>number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1404</v>
      </c>
      <c r="C8" s="9" t="s">
        <v>1501</v>
      </c>
      <c r="D8" s="5"/>
      <c r="E8" s="5"/>
      <c r="F8" s="5"/>
      <c r="G8" s="4" t="s">
        <v>1502</v>
      </c>
      <c r="H8" s="4" t="s">
        <v>1503</v>
      </c>
      <c r="I8" s="5"/>
      <c r="J8" s="6" t="s">
        <v>1471</v>
      </c>
      <c r="K8" s="23" t="str">
        <f t="shared" si="2"/>
        <v>number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1404</v>
      </c>
      <c r="C9" s="9" t="s">
        <v>1504</v>
      </c>
      <c r="D9" s="5"/>
      <c r="E9" s="5"/>
      <c r="F9" s="5"/>
      <c r="G9" s="4" t="s">
        <v>1505</v>
      </c>
      <c r="H9" s="4" t="s">
        <v>1506</v>
      </c>
      <c r="I9" s="5"/>
      <c r="J9" s="6" t="s">
        <v>1471</v>
      </c>
      <c r="K9" s="23" t="str">
        <f t="shared" si="2"/>
        <v>number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1404</v>
      </c>
      <c r="C10" s="9" t="s">
        <v>1507</v>
      </c>
      <c r="D10" s="5"/>
      <c r="E10" s="5"/>
      <c r="F10" s="5"/>
      <c r="G10" s="4" t="s">
        <v>1508</v>
      </c>
      <c r="H10" s="4" t="s">
        <v>1509</v>
      </c>
      <c r="I10" s="5"/>
      <c r="J10" s="6" t="s">
        <v>1471</v>
      </c>
      <c r="K10" s="23" t="str">
        <f t="shared" ref="K10:K13" si="4">_xlfn.IFS(J10="integer","integer",J10="number","number",J10="array","array",J10="boolean","boolean",TRUE,"string")</f>
        <v>number</v>
      </c>
      <c r="L10" s="23" t="str">
        <f t="shared" ref="L10:L13" si="5">_xlfn.IFS(J10="datetime","date-time",J10="duration","duration",TRUE,"")</f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1404</v>
      </c>
      <c r="C11" s="9" t="s">
        <v>1510</v>
      </c>
      <c r="D11" s="5"/>
      <c r="E11" s="5"/>
      <c r="F11" s="5"/>
      <c r="G11" s="4" t="s">
        <v>1511</v>
      </c>
      <c r="H11" s="4" t="s">
        <v>1512</v>
      </c>
      <c r="I11" s="5"/>
      <c r="J11" s="6" t="s">
        <v>1471</v>
      </c>
      <c r="K11" s="23" t="str">
        <f t="shared" si="4"/>
        <v>number</v>
      </c>
      <c r="L11" s="23" t="str">
        <f t="shared" si="5"/>
        <v/>
      </c>
      <c r="M11" s="20"/>
      <c r="N11" s="20"/>
      <c r="O11" s="20"/>
      <c r="P11" s="20"/>
      <c r="Q11" s="20"/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1404</v>
      </c>
      <c r="C12" s="9" t="s">
        <v>1513</v>
      </c>
      <c r="D12" s="5"/>
      <c r="E12" s="5"/>
      <c r="F12" s="5"/>
      <c r="G12" s="4" t="s">
        <v>1514</v>
      </c>
      <c r="H12" s="4" t="s">
        <v>1515</v>
      </c>
      <c r="I12" s="5"/>
      <c r="J12" s="6" t="s">
        <v>1471</v>
      </c>
      <c r="K12" s="23" t="str">
        <f t="shared" si="4"/>
        <v>number</v>
      </c>
      <c r="L12" s="23" t="str">
        <f t="shared" si="5"/>
        <v/>
      </c>
      <c r="M12" s="20"/>
      <c r="N12" s="20"/>
      <c r="O12" s="20"/>
      <c r="P12" s="20"/>
      <c r="Q12" s="20"/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1404</v>
      </c>
      <c r="C13" s="9" t="s">
        <v>1516</v>
      </c>
      <c r="D13" s="5"/>
      <c r="E13" s="5"/>
      <c r="F13" s="5"/>
      <c r="G13" s="4" t="s">
        <v>1517</v>
      </c>
      <c r="H13" s="4" t="s">
        <v>1518</v>
      </c>
      <c r="I13" s="5"/>
      <c r="J13" s="6" t="s">
        <v>1471</v>
      </c>
      <c r="K13" s="23" t="str">
        <f t="shared" si="4"/>
        <v>number</v>
      </c>
      <c r="L13" s="23" t="str">
        <f t="shared" si="5"/>
        <v/>
      </c>
      <c r="M13" s="20"/>
      <c r="N13" s="20"/>
      <c r="O13" s="20"/>
      <c r="P13" s="20"/>
      <c r="Q13" s="20"/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44</v>
      </c>
      <c r="C14" s="9"/>
      <c r="D14" s="5"/>
      <c r="E14" s="5"/>
      <c r="F14" s="5"/>
      <c r="G14" s="4"/>
      <c r="H14" s="4"/>
      <c r="I14" s="5"/>
      <c r="J14" s="6" t="s">
        <v>4</v>
      </c>
      <c r="K14" s="23" t="str">
        <f t="shared" si="2"/>
        <v>string</v>
      </c>
      <c r="L14" s="23" t="str">
        <f t="shared" si="3"/>
        <v/>
      </c>
      <c r="M14" s="20"/>
      <c r="N14" s="20"/>
      <c r="O14" s="20"/>
      <c r="P14" s="20"/>
      <c r="Q14" s="20"/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44</v>
      </c>
      <c r="C15" s="9"/>
      <c r="D15" s="7"/>
      <c r="E15" s="7"/>
      <c r="F15" s="7"/>
      <c r="G15" s="6"/>
      <c r="H15" s="6"/>
      <c r="I15" s="7"/>
      <c r="J15" s="6" t="s">
        <v>4</v>
      </c>
      <c r="K15" s="23" t="str">
        <f t="shared" si="0"/>
        <v>string</v>
      </c>
      <c r="L15" s="23" t="str">
        <f t="shared" si="1"/>
        <v/>
      </c>
      <c r="M15" s="7"/>
      <c r="N15" s="7"/>
      <c r="O15" s="7"/>
      <c r="P15" s="7"/>
      <c r="Q15" s="7"/>
      <c r="R15" s="7"/>
      <c r="S15" s="8"/>
    </row>
    <row r="16" spans="1:30">
      <c r="B16" s="27"/>
    </row>
  </sheetData>
  <mergeCells count="1">
    <mergeCell ref="A3:A15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5" xr:uid="{C77DE921-00C9-402E-B063-7FE813E1C579}">
      <formula1>"ON,OFF"</formula1>
    </dataValidation>
    <dataValidation type="list" allowBlank="1" showInputMessage="1" showErrorMessage="1" sqref="Q4:Q15" xr:uid="{973D0976-273D-4B1E-AD82-53B3E7F58099}">
      <formula1>"　,TRUE"</formula1>
    </dataValidation>
    <dataValidation type="list" allowBlank="1" showInputMessage="1" showErrorMessage="1" sqref="J3:J15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2"/>
  <sheetViews>
    <sheetView zoomScaleNormal="100" workbookViewId="0">
      <pane xSplit="4" ySplit="6" topLeftCell="S7" activePane="bottomRight" state="frozen"/>
      <selection pane="topRight" activeCell="E1" sqref="E1"/>
      <selection pane="bottomLeft" activeCell="A7" sqref="A7"/>
      <selection pane="bottomRight" activeCell="V18" sqref="V18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6" t="s">
        <v>9</v>
      </c>
      <c r="C1" s="47"/>
      <c r="D1" s="47"/>
      <c r="E1" s="4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52" t="str">
        <f>"https://rde.nims.go.jp/rde/dataset-templates/"&amp;説明!B3&amp;"/invoice.schema.json"</f>
        <v>https://rde.nims.go.jp/rde/dataset-templates/RDEDatasetTemplateSheet_RDE_WAVELET_TRANSFORM_CHARACTERIZATION/invoice.schema.json</v>
      </c>
      <c r="C2" s="53"/>
      <c r="D2" s="53"/>
      <c r="E2" s="5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9" t="str">
        <f>説明!B4&amp;": 送状定義"</f>
        <v>標準データセットテンプレートRDE_WAVELET_TRANSFORM_CHARACTERIZATION用RDEデータセットテンプレート: 送状定義</v>
      </c>
      <c r="C3" s="50"/>
      <c r="D3" s="50"/>
      <c r="E3" s="5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2" t="s">
        <v>5</v>
      </c>
      <c r="B7" s="42" t="s">
        <v>33</v>
      </c>
      <c r="C7" s="3" t="s">
        <v>1404</v>
      </c>
      <c r="D7" s="18" t="s">
        <v>1519</v>
      </c>
      <c r="E7" s="19"/>
      <c r="F7" s="15" t="s">
        <v>1520</v>
      </c>
      <c r="G7" s="15" t="s">
        <v>1519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2"/>
      <c r="B8" s="42"/>
      <c r="C8" s="3" t="s">
        <v>1404</v>
      </c>
      <c r="D8" s="18" t="s">
        <v>1521</v>
      </c>
      <c r="E8" s="19"/>
      <c r="F8" s="15" t="s">
        <v>1522</v>
      </c>
      <c r="G8" s="15" t="s">
        <v>1521</v>
      </c>
      <c r="H8" s="12"/>
      <c r="I8" s="12"/>
      <c r="J8" s="12"/>
      <c r="K8" s="16"/>
      <c r="L8" s="7"/>
      <c r="M8" s="6" t="s">
        <v>4</v>
      </c>
      <c r="N8" s="29" t="str">
        <f t="shared" ref="N8:N26" si="0">_xlfn.IFS(M8="integer","integer",M8="number","number",M8="boolean","boolean",TRUE,"string")</f>
        <v>string</v>
      </c>
      <c r="O8" s="29" t="str">
        <f t="shared" ref="O8:O26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2"/>
      <c r="B9" s="42"/>
      <c r="C9" s="3" t="s">
        <v>1404</v>
      </c>
      <c r="D9" s="18" t="s">
        <v>1523</v>
      </c>
      <c r="E9" s="19"/>
      <c r="F9" s="15" t="s">
        <v>1524</v>
      </c>
      <c r="G9" s="15" t="s">
        <v>1523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2"/>
      <c r="B10" s="42"/>
      <c r="C10" s="3" t="s">
        <v>1404</v>
      </c>
      <c r="D10" s="18" t="s">
        <v>1525</v>
      </c>
      <c r="E10" s="19"/>
      <c r="F10" s="15" t="s">
        <v>1526</v>
      </c>
      <c r="G10" s="15" t="s">
        <v>1525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2"/>
      <c r="B11" s="42"/>
      <c r="C11" s="3" t="s">
        <v>1404</v>
      </c>
      <c r="D11" s="18" t="s">
        <v>1527</v>
      </c>
      <c r="E11" s="19"/>
      <c r="F11" s="15" t="s">
        <v>1528</v>
      </c>
      <c r="G11" s="15" t="s">
        <v>1527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2"/>
      <c r="B12" s="42"/>
      <c r="C12" s="3" t="s">
        <v>1404</v>
      </c>
      <c r="D12" s="18" t="s">
        <v>1472</v>
      </c>
      <c r="E12" s="19"/>
      <c r="F12" s="15" t="s">
        <v>1473</v>
      </c>
      <c r="G12" s="15" t="s">
        <v>1529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 t="s">
        <v>1559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2"/>
      <c r="B13" s="42"/>
      <c r="C13" s="3" t="s">
        <v>1404</v>
      </c>
      <c r="D13" s="18" t="s">
        <v>1474</v>
      </c>
      <c r="E13" s="19"/>
      <c r="F13" s="15" t="s">
        <v>1475</v>
      </c>
      <c r="G13" s="15" t="s">
        <v>1476</v>
      </c>
      <c r="H13" s="12"/>
      <c r="I13" s="12"/>
      <c r="J13" s="12"/>
      <c r="K13" s="16"/>
      <c r="L13" s="7"/>
      <c r="M13" s="6" t="s">
        <v>1530</v>
      </c>
      <c r="N13" s="29" t="str">
        <f t="shared" si="0"/>
        <v>string</v>
      </c>
      <c r="O13" s="29" t="str">
        <f t="shared" si="1"/>
        <v/>
      </c>
      <c r="P13" s="29"/>
      <c r="Q13" s="19"/>
      <c r="R13" s="19" t="s">
        <v>1564</v>
      </c>
      <c r="S13" s="12" t="s">
        <v>1483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2"/>
      <c r="B14" s="42"/>
      <c r="C14" s="3" t="s">
        <v>1404</v>
      </c>
      <c r="D14" s="18" t="s">
        <v>1477</v>
      </c>
      <c r="E14" s="19"/>
      <c r="F14" s="15" t="s">
        <v>1478</v>
      </c>
      <c r="G14" s="15" t="s">
        <v>1479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 t="s">
        <v>1560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2"/>
      <c r="B15" s="42"/>
      <c r="C15" s="3" t="s">
        <v>1404</v>
      </c>
      <c r="D15" s="18" t="s">
        <v>1480</v>
      </c>
      <c r="E15" s="19"/>
      <c r="F15" s="15" t="s">
        <v>1481</v>
      </c>
      <c r="G15" s="15" t="s">
        <v>1482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2"/>
      <c r="B16" s="42"/>
      <c r="C16" s="3" t="s">
        <v>1404</v>
      </c>
      <c r="D16" s="18" t="s">
        <v>1531</v>
      </c>
      <c r="E16" s="19"/>
      <c r="F16" s="15" t="s">
        <v>1532</v>
      </c>
      <c r="G16" s="15" t="s">
        <v>1533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 t="s">
        <v>1559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2"/>
      <c r="B17" s="42"/>
      <c r="C17" s="3" t="s">
        <v>1404</v>
      </c>
      <c r="D17" s="18" t="s">
        <v>1534</v>
      </c>
      <c r="E17" s="19"/>
      <c r="F17" s="15" t="s">
        <v>1535</v>
      </c>
      <c r="G17" s="15" t="s">
        <v>1536</v>
      </c>
      <c r="H17" s="12"/>
      <c r="I17" s="12"/>
      <c r="J17" s="12"/>
      <c r="K17" s="16"/>
      <c r="L17" s="7"/>
      <c r="M17" s="6" t="s">
        <v>4</v>
      </c>
      <c r="N17" s="29" t="str">
        <f t="shared" ref="N17:N23" si="2">_xlfn.IFS(M17="integer","integer",M17="number","number",M17="boolean","boolean",TRUE,"string")</f>
        <v>string</v>
      </c>
      <c r="O17" s="29" t="str">
        <f t="shared" ref="O17:O23" si="3">_xlfn.IFS(M17="date","date",M17="markdown","markdown",M17="time", "time",M17="uri","uri",M17="uuid","uuid",TRUE,"")</f>
        <v/>
      </c>
      <c r="P17" s="29"/>
      <c r="Q17" s="19"/>
      <c r="R17" s="19"/>
      <c r="S17" s="12" t="s">
        <v>1561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2"/>
      <c r="B18" s="42"/>
      <c r="C18" s="3" t="s">
        <v>1404</v>
      </c>
      <c r="D18" s="18" t="s">
        <v>1537</v>
      </c>
      <c r="E18" s="19"/>
      <c r="F18" s="15" t="s">
        <v>1538</v>
      </c>
      <c r="G18" s="15" t="s">
        <v>1539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 t="s">
        <v>1562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2"/>
      <c r="B19" s="42"/>
      <c r="C19" s="3" t="s">
        <v>1404</v>
      </c>
      <c r="D19" s="18" t="s">
        <v>1540</v>
      </c>
      <c r="E19" s="19"/>
      <c r="F19" s="15" t="s">
        <v>1541</v>
      </c>
      <c r="G19" s="15" t="s">
        <v>1542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1559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2"/>
      <c r="B20" s="42"/>
      <c r="C20" s="3" t="s">
        <v>1404</v>
      </c>
      <c r="D20" s="18" t="s">
        <v>1543</v>
      </c>
      <c r="E20" s="19"/>
      <c r="F20" s="15" t="s">
        <v>1544</v>
      </c>
      <c r="G20" s="15" t="s">
        <v>1545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2"/>
      <c r="B21" s="42"/>
      <c r="C21" s="3" t="s">
        <v>1404</v>
      </c>
      <c r="D21" s="18" t="s">
        <v>1546</v>
      </c>
      <c r="E21" s="19"/>
      <c r="F21" s="15" t="s">
        <v>1547</v>
      </c>
      <c r="G21" s="15" t="s">
        <v>1548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2"/>
      <c r="B22" s="42"/>
      <c r="C22" s="3" t="s">
        <v>1404</v>
      </c>
      <c r="D22" s="18" t="s">
        <v>1549</v>
      </c>
      <c r="E22" s="19"/>
      <c r="F22" s="15" t="s">
        <v>1550</v>
      </c>
      <c r="G22" s="15" t="s">
        <v>1551</v>
      </c>
      <c r="H22" s="12"/>
      <c r="I22" s="12"/>
      <c r="J22" s="12"/>
      <c r="K22" s="16"/>
      <c r="L22" s="7"/>
      <c r="M22" s="6" t="s">
        <v>4</v>
      </c>
      <c r="N22" s="29" t="str">
        <f t="shared" si="2"/>
        <v>string</v>
      </c>
      <c r="O22" s="29" t="str">
        <f t="shared" si="3"/>
        <v/>
      </c>
      <c r="P22" s="29"/>
      <c r="Q22" s="19"/>
      <c r="R22" s="19"/>
      <c r="S22" s="12" t="s">
        <v>1563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42"/>
      <c r="B23" s="42"/>
      <c r="C23" s="3" t="s">
        <v>1404</v>
      </c>
      <c r="D23" s="18" t="s">
        <v>1552</v>
      </c>
      <c r="E23" s="19"/>
      <c r="F23" s="15" t="s">
        <v>1553</v>
      </c>
      <c r="G23" s="15" t="s">
        <v>1554</v>
      </c>
      <c r="H23" s="12"/>
      <c r="I23" s="12"/>
      <c r="J23" s="12"/>
      <c r="K23" s="16"/>
      <c r="L23" s="7"/>
      <c r="M23" s="6" t="s">
        <v>1470</v>
      </c>
      <c r="N23" s="29" t="str">
        <f t="shared" si="2"/>
        <v>string</v>
      </c>
      <c r="O23" s="29" t="str">
        <f t="shared" si="3"/>
        <v>date</v>
      </c>
      <c r="P23" s="29"/>
      <c r="Q23" s="19"/>
      <c r="R23" s="19"/>
      <c r="S23" s="12"/>
      <c r="T23" s="12"/>
      <c r="U23" s="12" t="s">
        <v>1565</v>
      </c>
      <c r="V23" s="12" t="s">
        <v>1566</v>
      </c>
      <c r="W23" s="12"/>
      <c r="X23" s="12"/>
      <c r="Y23" s="12"/>
      <c r="Z23" s="12"/>
      <c r="AA23" s="12"/>
      <c r="AB23" s="12"/>
      <c r="AC23" s="12"/>
    </row>
    <row r="24" spans="1:29">
      <c r="A24" s="42"/>
      <c r="B24" s="42"/>
      <c r="C24" s="3" t="s">
        <v>1404</v>
      </c>
      <c r="D24" s="18" t="s">
        <v>1555</v>
      </c>
      <c r="E24" s="19"/>
      <c r="F24" s="15" t="s">
        <v>1141</v>
      </c>
      <c r="G24" s="15" t="s">
        <v>1142</v>
      </c>
      <c r="H24" s="12"/>
      <c r="I24" s="12"/>
      <c r="J24" s="12"/>
      <c r="K24" s="16"/>
      <c r="L24" s="7"/>
      <c r="M24" s="6" t="s">
        <v>4</v>
      </c>
      <c r="N24" s="29" t="str">
        <f t="shared" ref="N24:N25" si="4">_xlfn.IFS(M24="integer","integer",M24="number","number",M24="boolean","boolean",TRUE,"string")</f>
        <v>string</v>
      </c>
      <c r="O24" s="29" t="str">
        <f t="shared" ref="O24:O25" si="5">_xlfn.IFS(M24="date","date",M24="markdown","markdown",M24="time", "time",M24="uri","uri",M24="uuid","uuid",TRUE,"")</f>
        <v/>
      </c>
      <c r="P24" s="29"/>
      <c r="Q24" s="19"/>
      <c r="R24" s="1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6" customHeight="1">
      <c r="A25" s="42"/>
      <c r="B25" s="42"/>
      <c r="C25" s="3" t="s">
        <v>1404</v>
      </c>
      <c r="D25" s="18" t="s">
        <v>1556</v>
      </c>
      <c r="E25" s="19"/>
      <c r="F25" s="15" t="s">
        <v>1557</v>
      </c>
      <c r="G25" s="15" t="s">
        <v>1558</v>
      </c>
      <c r="H25" s="12"/>
      <c r="I25" s="12"/>
      <c r="J25" s="12"/>
      <c r="K25" s="16"/>
      <c r="L25" s="7"/>
      <c r="M25" s="6" t="s">
        <v>4</v>
      </c>
      <c r="N25" s="29" t="str">
        <f t="shared" si="4"/>
        <v>string</v>
      </c>
      <c r="O25" s="29" t="str">
        <f t="shared" si="5"/>
        <v/>
      </c>
      <c r="P25" s="29"/>
      <c r="Q25" s="19"/>
      <c r="R25" s="19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>
      <c r="A26" s="42"/>
      <c r="B26" s="42"/>
      <c r="C26" s="3" t="s">
        <v>44</v>
      </c>
      <c r="D26" s="18"/>
      <c r="E26" s="19"/>
      <c r="F26" s="15"/>
      <c r="G26" s="15"/>
      <c r="H26" s="12"/>
      <c r="I26" s="12"/>
      <c r="J26" s="12"/>
      <c r="K26" s="16"/>
      <c r="L26" s="7"/>
      <c r="M26" s="6" t="s">
        <v>4</v>
      </c>
      <c r="N26" s="29" t="str">
        <f t="shared" si="0"/>
        <v>string</v>
      </c>
      <c r="O26" s="29" t="str">
        <f t="shared" si="1"/>
        <v/>
      </c>
      <c r="P26" s="29"/>
      <c r="Q26" s="19"/>
      <c r="R26" s="19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2"/>
      <c r="B27" s="42"/>
      <c r="C27" s="3" t="s">
        <v>44</v>
      </c>
      <c r="D27" s="18"/>
      <c r="E27" s="19"/>
      <c r="F27" s="15"/>
      <c r="G27" s="15"/>
      <c r="H27" s="12"/>
      <c r="I27" s="12"/>
      <c r="J27" s="12"/>
      <c r="K27" s="16"/>
      <c r="L27" s="7"/>
      <c r="M27" s="6" t="s">
        <v>4</v>
      </c>
      <c r="N27" s="29" t="str">
        <f t="shared" ref="N27" si="6">_xlfn.IFS(M27="integer","integer",M27="number","number",M27="boolean","boolean",TRUE,"string")</f>
        <v>string</v>
      </c>
      <c r="O27" s="29" t="str">
        <f t="shared" ref="O27" si="7">_xlfn.IFS(M27="date","date",M27="markdown","markdown",M27="time", "time",M27="uri","uri",M27="uuid","uuid",TRUE,"")</f>
        <v/>
      </c>
      <c r="P27" s="29" t="str">
        <f t="shared" ref="P27" si="8">_xlfn.IFS(M27="textarea","textarea",TRUE,"")</f>
        <v/>
      </c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3" t="s">
        <v>1379</v>
      </c>
      <c r="B28" s="42" t="s">
        <v>79</v>
      </c>
      <c r="C28" s="3" t="s">
        <v>44</v>
      </c>
      <c r="D28" s="15" t="s">
        <v>34</v>
      </c>
      <c r="E28" s="19"/>
      <c r="F28" s="15" t="s">
        <v>1432</v>
      </c>
      <c r="G28" s="15" t="s">
        <v>1433</v>
      </c>
      <c r="H28" s="12"/>
      <c r="I28" s="12"/>
      <c r="J28" s="19"/>
      <c r="K28" s="1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44"/>
      <c r="B29" s="42"/>
      <c r="C29" s="3" t="s">
        <v>44</v>
      </c>
      <c r="D29" s="15" t="s">
        <v>35</v>
      </c>
      <c r="E29" s="19"/>
      <c r="F29" s="15" t="s">
        <v>1434</v>
      </c>
      <c r="G29" s="15" t="s">
        <v>1435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44"/>
      <c r="B30" s="42"/>
      <c r="C30" s="3" t="s">
        <v>44</v>
      </c>
      <c r="D30" s="15" t="s">
        <v>36</v>
      </c>
      <c r="E30" s="19"/>
      <c r="F30" s="15" t="s">
        <v>1436</v>
      </c>
      <c r="G30" s="15" t="s">
        <v>1437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44"/>
      <c r="B31" s="42"/>
      <c r="C31" s="3" t="s">
        <v>44</v>
      </c>
      <c r="D31" s="15" t="s">
        <v>37</v>
      </c>
      <c r="E31" s="19"/>
      <c r="F31" s="15" t="s">
        <v>1438</v>
      </c>
      <c r="G31" s="15" t="s">
        <v>1439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44"/>
      <c r="B32" s="42"/>
      <c r="C32" s="3" t="s">
        <v>44</v>
      </c>
      <c r="D32" s="15" t="s">
        <v>38</v>
      </c>
      <c r="E32" s="19"/>
      <c r="F32" s="15" t="s">
        <v>1440</v>
      </c>
      <c r="G32" s="15" t="s">
        <v>1441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>
      <c r="A33" s="44"/>
      <c r="B33" s="42"/>
      <c r="C33" s="3" t="s">
        <v>44</v>
      </c>
      <c r="D33" s="15" t="s">
        <v>39</v>
      </c>
      <c r="E33" s="19"/>
      <c r="F33" s="15" t="s">
        <v>1442</v>
      </c>
      <c r="G33" s="15" t="s">
        <v>1443</v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45"/>
      <c r="B34" s="42"/>
      <c r="C34" s="3" t="s">
        <v>44</v>
      </c>
      <c r="D34" s="15" t="s">
        <v>16</v>
      </c>
      <c r="E34" s="19"/>
      <c r="F34" s="15" t="s">
        <v>1444</v>
      </c>
      <c r="G34" s="15" t="s">
        <v>1445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43" t="s">
        <v>1380</v>
      </c>
      <c r="B35" s="42" t="s">
        <v>40</v>
      </c>
      <c r="C35" s="3" t="s">
        <v>44</v>
      </c>
      <c r="D35" s="18" t="str">
        <f>IFERROR(INDEX(sample.general_sample_term!A:H,MATCH($E35,sample.general_sample_term!C:C,FALSE),2),"")</f>
        <v>sample.general.general-name</v>
      </c>
      <c r="E35" s="14" t="s">
        <v>1274</v>
      </c>
      <c r="F35" s="18" t="str">
        <f>IFERROR(INDEX(sample.general_sample_term!A:H,MATCH($E35,sample.general_sample_term!C:C,FALSE),3),"")</f>
        <v>一般名称</v>
      </c>
      <c r="G35" s="18" t="str">
        <f>IFERROR(INDEX(sample.general_sample_term!A:H,MATCH($E35,sample.general_sample_term!C:C,FALSE),4),"")</f>
        <v>General name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IFERROR(INDEX(sample.general_sample_term!A:H,MATCH($E35,sample.general_sample_term!C:C,FALSE),5),"")</f>
        <v>一般名称を入力してください</v>
      </c>
      <c r="V35" s="18" t="str">
        <f>IFERROR(INDEX(sample.general_sample_term!A:H,MATCH($E35,sample.general_sample_term!C:C,FALSE),6),"")</f>
        <v>Please enter General name</v>
      </c>
      <c r="W35" s="19"/>
      <c r="X35" s="19"/>
      <c r="Y35" s="19"/>
      <c r="Z35" s="19"/>
      <c r="AA35" s="19"/>
      <c r="AB35" s="19"/>
      <c r="AC35" s="19"/>
    </row>
    <row r="36" spans="1:29">
      <c r="A36" s="44"/>
      <c r="B36" s="42"/>
      <c r="C36" s="3" t="s">
        <v>44</v>
      </c>
      <c r="D36" s="18" t="str">
        <f>IFERROR(INDEX(sample.general_sample_term!A:H,MATCH($E36,sample.general_sample_term!C:C,FALSE),2),"")</f>
        <v>sample.general.cas-number</v>
      </c>
      <c r="E36" s="14" t="s">
        <v>1160</v>
      </c>
      <c r="F36" s="18" t="str">
        <f>IFERROR(INDEX(sample.general_sample_term!A:H,MATCH($E36,sample.general_sample_term!C:C,FALSE),3),"")</f>
        <v>CAS番号</v>
      </c>
      <c r="G36" s="18" t="str">
        <f>IFERROR(INDEX(sample.general_sample_term!A:H,MATCH($E36,sample.general_sample_term!C:C,FALSE),4),"")</f>
        <v>CAS Number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IFERROR(INDEX(sample.general_sample_term!A:H,MATCH($E36,sample.general_sample_term!C:C,FALSE),5),"")</f>
        <v>CAS番号を入力してください</v>
      </c>
      <c r="V36" s="18" t="str">
        <f>IFERROR(INDEX(sample.general_sample_term!A:H,MATCH($E36,sample.general_sample_term!C:C,FALSE),6),"")</f>
        <v>Please enter CAS Number</v>
      </c>
      <c r="W36" s="19"/>
      <c r="X36" s="19"/>
      <c r="Y36" s="19"/>
      <c r="Z36" s="19"/>
      <c r="AA36" s="19"/>
      <c r="AB36" s="19"/>
      <c r="AC36" s="19"/>
    </row>
    <row r="37" spans="1:29">
      <c r="A37" s="44"/>
      <c r="B37" s="42"/>
      <c r="C37" s="3" t="s">
        <v>44</v>
      </c>
      <c r="D37" s="18" t="str">
        <f>IFERROR(INDEX(sample.general_sample_term!A:H,MATCH($E37,sample.general_sample_term!C:C,FALSE),2),"")</f>
        <v>sample.general.crystal-structure</v>
      </c>
      <c r="E37" s="14" t="s">
        <v>1175</v>
      </c>
      <c r="F37" s="18" t="str">
        <f>IFERROR(INDEX(sample.general_sample_term!A:H,MATCH($E37,sample.general_sample_term!C:C,FALSE),3),"")</f>
        <v>結晶構造</v>
      </c>
      <c r="G37" s="18" t="str">
        <f>IFERROR(INDEX(sample.general_sample_term!A:H,MATCH($E37,sample.general_sample_term!C:C,FALSE),4),"")</f>
        <v>Crystal structure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IFERROR(INDEX(sample.general_sample_term!A:H,MATCH($E37,sample.general_sample_term!C:C,FALSE),5),"")</f>
        <v>結晶構造を入力してください</v>
      </c>
      <c r="V37" s="18" t="str">
        <f>IFERROR(INDEX(sample.general_sample_term!A:H,MATCH($E37,sample.general_sample_term!C:C,FALSE),6),"")</f>
        <v>Please enter Crystal structure</v>
      </c>
      <c r="W37" s="19"/>
      <c r="X37" s="19"/>
      <c r="Y37" s="19"/>
      <c r="Z37" s="19"/>
      <c r="AA37" s="19"/>
      <c r="AB37" s="19"/>
      <c r="AC37" s="19"/>
    </row>
    <row r="38" spans="1:29">
      <c r="A38" s="44"/>
      <c r="B38" s="42"/>
      <c r="C38" s="3" t="s">
        <v>44</v>
      </c>
      <c r="D38" s="18" t="str">
        <f>IFERROR(INDEX(sample.general_sample_term!A:H,MATCH($E38,sample.general_sample_term!C:C,FALSE),2),"")</f>
        <v>sample.general.sample-shape</v>
      </c>
      <c r="E38" s="14" t="s">
        <v>1191</v>
      </c>
      <c r="F38" s="18" t="str">
        <f>IFERROR(INDEX(sample.general_sample_term!A:H,MATCH($E38,sample.general_sample_term!C:C,FALSE),3),"")</f>
        <v>試料形状</v>
      </c>
      <c r="G38" s="18" t="str">
        <f>IFERROR(INDEX(sample.general_sample_term!A:H,MATCH($E38,sample.general_sample_term!C:C,FALSE),4),"")</f>
        <v>Sample shape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IFERROR(INDEX(sample.general_sample_term!A:H,MATCH($E38,sample.general_sample_term!C:C,FALSE),5),"")</f>
        <v>試料形状を入力してください</v>
      </c>
      <c r="V38" s="18" t="str">
        <f>IFERROR(INDEX(sample.general_sample_term!A:H,MATCH($E38,sample.general_sample_term!C:C,FALSE),6),"")</f>
        <v>Please enter Sample shape</v>
      </c>
      <c r="W38" s="19"/>
      <c r="X38" s="19"/>
      <c r="Y38" s="19"/>
      <c r="Z38" s="19"/>
      <c r="AA38" s="19"/>
      <c r="AB38" s="19"/>
      <c r="AC38" s="19"/>
    </row>
    <row r="39" spans="1:29">
      <c r="A39" s="44"/>
      <c r="B39" s="42"/>
      <c r="C39" s="3" t="s">
        <v>44</v>
      </c>
      <c r="D39" s="18" t="str">
        <f>IFERROR(INDEX(sample.general_sample_term!A:H,MATCH($E39,sample.general_sample_term!C:C,FALSE),2),"")</f>
        <v>sample.general.purchase-date</v>
      </c>
      <c r="E39" s="14" t="s">
        <v>1165</v>
      </c>
      <c r="F39" s="18" t="str">
        <f>IFERROR(INDEX(sample.general_sample_term!A:H,MATCH($E39,sample.general_sample_term!C:C,FALSE),3),"")</f>
        <v>試料購入日</v>
      </c>
      <c r="G39" s="18" t="str">
        <f>IFERROR(INDEX(sample.general_sample_term!A:H,MATCH($E39,sample.general_sample_term!C:C,FALSE),4),"")</f>
        <v>Purchase date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IFERROR(INDEX(sample.general_sample_term!A:H,MATCH($E39,sample.general_sample_term!C:C,FALSE),5),"")</f>
        <v>試料購入日を入力してください</v>
      </c>
      <c r="V39" s="18" t="str">
        <f>IFERROR(INDEX(sample.general_sample_term!A:H,MATCH($E39,sample.general_sample_term!C:C,FALSE),6),"")</f>
        <v>Please enter Purchase date</v>
      </c>
      <c r="W39" s="19"/>
      <c r="X39" s="19"/>
      <c r="Y39" s="19"/>
      <c r="Z39" s="19"/>
      <c r="AA39" s="19"/>
      <c r="AB39" s="19"/>
      <c r="AC39" s="19"/>
    </row>
    <row r="40" spans="1:29">
      <c r="A40" s="44"/>
      <c r="B40" s="42"/>
      <c r="C40" s="3" t="s">
        <v>44</v>
      </c>
      <c r="D40" s="18" t="str">
        <f>IFERROR(INDEX(sample.general_sample_term!A:H,MATCH($E40,sample.general_sample_term!C:C,FALSE),2),"")</f>
        <v>sample.general.supplier</v>
      </c>
      <c r="E40" s="14" t="s">
        <v>834</v>
      </c>
      <c r="F40" s="18" t="str">
        <f>IFERROR(INDEX(sample.general_sample_term!A:H,MATCH($E40,sample.general_sample_term!C:C,FALSE),3),"")</f>
        <v>購入元</v>
      </c>
      <c r="G40" s="18" t="str">
        <f>IFERROR(INDEX(sample.general_sample_term!A:H,MATCH($E40,sample.general_sample_term!C:C,FALSE),4),"")</f>
        <v>Supplier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IFERROR(INDEX(sample.general_sample_term!A:H,MATCH($E40,sample.general_sample_term!C:C,FALSE),5),"")</f>
        <v/>
      </c>
      <c r="V40" s="18" t="str">
        <f>IFERROR(INDEX(sample.general_sample_term!A:H,MATCH($E40,sample.general_sample_term!C:C,FALSE),6),"")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44"/>
      <c r="B41" s="42"/>
      <c r="C41" s="3" t="s">
        <v>44</v>
      </c>
      <c r="D41" s="18" t="str">
        <f>IFERROR(INDEX(sample.general_sample_term!A:H,MATCH($E41,sample.general_sample_term!C:C,FALSE),2),"")</f>
        <v>sample.general.lot-number-or-product-number-etc</v>
      </c>
      <c r="E41" s="14" t="s">
        <v>1156</v>
      </c>
      <c r="F41" s="18" t="str">
        <f>IFERROR(INDEX(sample.general_sample_term!A:H,MATCH($E41,sample.general_sample_term!C:C,FALSE),3),"")</f>
        <v>ロット番号、製造番号など</v>
      </c>
      <c r="G41" s="18" t="str">
        <f>IFERROR(INDEX(sample.general_sample_term!A:H,MATCH($E41,sample.general_sample_term!C:C,FALSE),4),"")</f>
        <v>Lot number or product number etc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IFERROR(INDEX(sample.general_sample_term!A:H,MATCH($E41,sample.general_sample_term!C:C,FALSE),5),"")</f>
        <v/>
      </c>
      <c r="V41" s="18" t="str">
        <f>IFERROR(INDEX(sample.general_sample_term!A:H,MATCH($E41,sample.general_sample_term!C:C,FALSE),6),"")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44"/>
      <c r="B42" s="42"/>
      <c r="C42" s="3" t="s">
        <v>44</v>
      </c>
      <c r="D42" s="18" t="str">
        <f>IFERROR(INDEX(sample.general_sample_term!A:H,MATCH($E42,sample.general_sample_term!C:C,FALSE),2),"")</f>
        <v/>
      </c>
      <c r="E42" s="14"/>
      <c r="F42" s="18" t="str">
        <f>IFERROR(INDEX(sample.general_sample_term!A:H,MATCH($E42,sample.general_sample_term!C:C,FALSE),3),"")</f>
        <v/>
      </c>
      <c r="G42" s="18" t="str">
        <f>IFERROR(INDEX(sample.general_sample_term!A:H,MATCH($E42,sample.general_sample_term!C:C,FALSE),4),"")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IFERROR(INDEX(sample.general_sample_term!A:H,MATCH($E42,sample.general_sample_term!C:C,FALSE),5),"")</f>
        <v/>
      </c>
      <c r="V42" s="18" t="str">
        <f>IFERROR(INDEX(sample.general_sample_term!A:H,MATCH($E42,sample.general_sample_term!C:C,FALSE),6),"")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45"/>
      <c r="B43" s="42"/>
      <c r="C43" s="3" t="s">
        <v>44</v>
      </c>
      <c r="D43" s="18" t="str">
        <f>IFERROR(INDEX(sample.general_sample_term!A:H,MATCH($E43,sample.general_sample_term!C:C,FALSE),2),"")</f>
        <v/>
      </c>
      <c r="E43" s="14"/>
      <c r="F43" s="18" t="str">
        <f>IFERROR(INDEX(sample.general_sample_term!A:H,MATCH($E43,sample.general_sample_term!C:C,FALSE),3),"")</f>
        <v/>
      </c>
      <c r="G43" s="18" t="str">
        <f>IFERROR(INDEX(sample.general_sample_term!A:H,MATCH($E43,sample.general_sample_term!C:C,FALSE),4),"")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/>
      </c>
      <c r="V43" s="18" t="str">
        <f>IFERROR(INDEX(sample.general_sample_term!A:H,MATCH($E43,sample.general_sample_term!C:C,FALSE),6),"")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43" t="s">
        <v>1381</v>
      </c>
      <c r="B44" s="42" t="s">
        <v>41</v>
      </c>
      <c r="C44" s="3" t="s">
        <v>44</v>
      </c>
      <c r="D44" s="18" t="str">
        <f>IFERROR(INDEX(sample.specific_sample_term!A:M,MATCH($E44,sample.specific_sample_term!L:L,FALSE),3),"")</f>
        <v/>
      </c>
      <c r="E44" s="14"/>
      <c r="F44" s="18" t="str">
        <f>IFERROR(INDEX(sample.specific_sample_term!A:M,MATCH($E44,sample.specific_sample_term!L:L,FALSE),12),"")</f>
        <v/>
      </c>
      <c r="G44" s="18" t="str">
        <f>IFERROR(INDEX(sample.specific_sample_term!A:M,MATCH($E44,sample.specific_sample_term!L:L,FALSE),13),"")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IFERROR(INDEX(sample.specific_sample_term!A:M,MATCH($E44,sample.specific_sample_term!L:L,FALSE),8),"")</f>
        <v/>
      </c>
      <c r="V44" s="18" t="str">
        <f>IFERROR(INDEX(sample.specific_sample_term!A:M,MATCH($E44,sample.specific_sample_term!L:L,FALSE),9),"")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44"/>
      <c r="B45" s="42"/>
      <c r="C45" s="3" t="s">
        <v>44</v>
      </c>
      <c r="D45" s="18" t="str">
        <f>IFERROR(INDEX(sample.specific_sample_term!A:M,MATCH($E45,sample.specific_sample_term!L:L,FALSE),3),"")</f>
        <v/>
      </c>
      <c r="E45" s="14"/>
      <c r="F45" s="18" t="str">
        <f>IFERROR(INDEX(sample.specific_sample_term!A:M,MATCH($E45,sample.specific_sample_term!L:L,FALSE),12),"")</f>
        <v/>
      </c>
      <c r="G45" s="18" t="str">
        <f>IFERROR(INDEX(sample.specific_sample_term!A:M,MATCH($E45,sample.specific_sample_term!L:L,FALSE),13),"")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IFERROR(INDEX(sample.specific_sample_term!A:M,MATCH($E45,sample.specific_sample_term!L:L,FALSE),8),"")</f>
        <v/>
      </c>
      <c r="V45" s="18" t="str">
        <f>IFERROR(INDEX(sample.specific_sample_term!A:M,MATCH($E45,sample.specific_sample_term!L:L,FALSE),9),"")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44"/>
      <c r="B46" s="42"/>
      <c r="C46" s="3" t="s">
        <v>44</v>
      </c>
      <c r="D46" s="18" t="str">
        <f>IFERROR(INDEX(sample.specific_sample_term!A:M,MATCH($E46,sample.specific_sample_term!L:L,FALSE),3),"")</f>
        <v/>
      </c>
      <c r="E46" s="14"/>
      <c r="F46" s="18" t="str">
        <f>IFERROR(INDEX(sample.specific_sample_term!A:M,MATCH($E46,sample.specific_sample_term!L:L,FALSE),12),"")</f>
        <v/>
      </c>
      <c r="G46" s="18" t="str">
        <f>IFERROR(INDEX(sample.specific_sample_term!A:M,MATCH($E46,sample.specific_sample_term!L:L,FALSE),13),"")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IFERROR(INDEX(sample.specific_sample_term!A:M,MATCH($E46,sample.specific_sample_term!L:L,FALSE),8),"")</f>
        <v/>
      </c>
      <c r="V46" s="18" t="str">
        <f>IFERROR(INDEX(sample.specific_sample_term!A:M,MATCH($E46,sample.specific_sample_term!L:L,FALSE),9),"")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44"/>
      <c r="B47" s="42"/>
      <c r="C47" s="3" t="s">
        <v>44</v>
      </c>
      <c r="D47" s="18" t="str">
        <f>IFERROR(INDEX(sample.specific_sample_term!A:M,MATCH($E47,sample.specific_sample_term!L:L,FALSE),3),"")</f>
        <v/>
      </c>
      <c r="E47" s="14"/>
      <c r="F47" s="18" t="str">
        <f>IFERROR(INDEX(sample.specific_sample_term!A:M,MATCH($E47,sample.specific_sample_term!L:L,FALSE),12),"")</f>
        <v/>
      </c>
      <c r="G47" s="18" t="str">
        <f>IFERROR(INDEX(sample.specific_sample_term!A:M,MATCH($E47,sample.specific_sample_term!L:L,FALSE),13),"")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IFERROR(INDEX(sample.specific_sample_term!A:M,MATCH($E47,sample.specific_sample_term!L:L,FALSE),8),"")</f>
        <v/>
      </c>
      <c r="V47" s="18" t="str">
        <f>IFERROR(INDEX(sample.specific_sample_term!A:M,MATCH($E47,sample.specific_sample_term!L:L,FALSE),9),"")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44"/>
      <c r="B48" s="42"/>
      <c r="C48" s="3" t="s">
        <v>44</v>
      </c>
      <c r="D48" s="18" t="str">
        <f>IFERROR(INDEX(sample.specific_sample_term!A:M,MATCH($E48,sample.specific_sample_term!L:L,FALSE),3),"")</f>
        <v/>
      </c>
      <c r="E48" s="14"/>
      <c r="F48" s="18" t="str">
        <f>IFERROR(INDEX(sample.specific_sample_term!A:M,MATCH($E48,sample.specific_sample_term!L:L,FALSE),12),"")</f>
        <v/>
      </c>
      <c r="G48" s="18" t="str">
        <f>IFERROR(INDEX(sample.specific_sample_term!A:M,MATCH($E48,sample.specific_sample_term!L:L,FALSE),13),"")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IFERROR(INDEX(sample.specific_sample_term!A:M,MATCH($E48,sample.specific_sample_term!L:L,FALSE),8),"")</f>
        <v/>
      </c>
      <c r="V48" s="18" t="str">
        <f>IFERROR(INDEX(sample.specific_sample_term!A:M,MATCH($E48,sample.specific_sample_term!L:L,FALSE),9),"")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44"/>
      <c r="B49" s="42"/>
      <c r="C49" s="3" t="s">
        <v>44</v>
      </c>
      <c r="D49" s="18" t="str">
        <f>IFERROR(INDEX(sample.specific_sample_term!A:M,MATCH($E49,sample.specific_sample_term!L:L,FALSE),3),"")</f>
        <v/>
      </c>
      <c r="E49" s="14"/>
      <c r="F49" s="18" t="str">
        <f>IFERROR(INDEX(sample.specific_sample_term!A:M,MATCH($E49,sample.specific_sample_term!L:L,FALSE),12),"")</f>
        <v/>
      </c>
      <c r="G49" s="18" t="str">
        <f>IFERROR(INDEX(sample.specific_sample_term!A:M,MATCH($E49,sample.specific_sample_term!L:L,FALSE),13),"")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IFERROR(INDEX(sample.specific_sample_term!A:M,MATCH($E49,sample.specific_sample_term!L:L,FALSE),8),"")</f>
        <v/>
      </c>
      <c r="V49" s="18" t="str">
        <f>IFERROR(INDEX(sample.specific_sample_term!A:M,MATCH($E49,sample.specific_sample_term!L:L,FALSE),9),"")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44"/>
      <c r="B50" s="42"/>
      <c r="C50" s="3" t="s">
        <v>44</v>
      </c>
      <c r="D50" s="18" t="str">
        <f>IFERROR(INDEX(sample.specific_sample_term!A:M,MATCH($E50,sample.specific_sample_term!L:L,FALSE),3),"")</f>
        <v/>
      </c>
      <c r="E50" s="14"/>
      <c r="F50" s="18" t="str">
        <f>IFERROR(INDEX(sample.specific_sample_term!A:M,MATCH($E50,sample.specific_sample_term!L:L,FALSE),12),"")</f>
        <v/>
      </c>
      <c r="G50" s="18" t="str">
        <f>IFERROR(INDEX(sample.specific_sample_term!A:M,MATCH($E50,sample.specific_sample_term!L:L,FALSE),13),"")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IFERROR(INDEX(sample.specific_sample_term!A:M,MATCH($E50,sample.specific_sample_term!L:L,FALSE),8),"")</f>
        <v/>
      </c>
      <c r="V50" s="18" t="str">
        <f>IFERROR(INDEX(sample.specific_sample_term!A:M,MATCH($E50,sample.specific_sample_term!L:L,FALSE),9),"")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44"/>
      <c r="B51" s="42"/>
      <c r="C51" s="3" t="s">
        <v>44</v>
      </c>
      <c r="D51" s="18" t="str">
        <f>IFERROR(INDEX(sample.specific_sample_term!A:M,MATCH($E51,sample.specific_sample_term!L:L,FALSE),3),"")</f>
        <v/>
      </c>
      <c r="E51" s="14"/>
      <c r="F51" s="18" t="str">
        <f>IFERROR(INDEX(sample.specific_sample_term!A:M,MATCH($E51,sample.specific_sample_term!L:L,FALSE),12),"")</f>
        <v/>
      </c>
      <c r="G51" s="18" t="str">
        <f>IFERROR(INDEX(sample.specific_sample_term!A:M,MATCH($E51,sample.specific_sample_term!L:L,FALSE),13),"")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IFERROR(INDEX(sample.specific_sample_term!A:M,MATCH($E51,sample.specific_sample_term!L:L,FALSE),8),"")</f>
        <v/>
      </c>
      <c r="V51" s="18" t="str">
        <f>IFERROR(INDEX(sample.specific_sample_term!A:M,MATCH($E51,sample.specific_sample_term!L:L,FALSE),9),"")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45"/>
      <c r="B52" s="42"/>
      <c r="C52" s="3" t="s">
        <v>44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</sheetData>
  <mergeCells count="11">
    <mergeCell ref="B1:E1"/>
    <mergeCell ref="B3:E3"/>
    <mergeCell ref="A7:A27"/>
    <mergeCell ref="B35:B43"/>
    <mergeCell ref="B28:B34"/>
    <mergeCell ref="B2:E2"/>
    <mergeCell ref="B44:B52"/>
    <mergeCell ref="B7:B27"/>
    <mergeCell ref="A28:A34"/>
    <mergeCell ref="A35:A43"/>
    <mergeCell ref="A44:A52"/>
  </mergeCells>
  <phoneticPr fontId="2"/>
  <conditionalFormatting sqref="B1:E1">
    <cfRule type="expression" dxfId="21" priority="1" stopIfTrue="1">
      <formula>ISBLANK(B1)</formula>
    </cfRule>
  </conditionalFormatting>
  <conditionalFormatting sqref="C7:C52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28:D34 M7:M27 F7:G34">
    <cfRule type="expression" dxfId="18" priority="3">
      <formula>AND($C7="ON",ISBLANK(D7))</formula>
    </cfRule>
  </conditionalFormatting>
  <conditionalFormatting sqref="E35:E52">
    <cfRule type="expression" dxfId="17" priority="17">
      <formula>AND($C35="ON",ISBLANK(E35))</formula>
    </cfRule>
  </conditionalFormatting>
  <conditionalFormatting sqref="N7:O27">
    <cfRule type="cellIs" dxfId="16" priority="16" operator="equal">
      <formula>"ON"</formula>
    </cfRule>
  </conditionalFormatting>
  <conditionalFormatting sqref="Q7:Q2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2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27" xr:uid="{2D4AA448-C361-40D4-AD5E-FB8A11DF009A}">
      <formula1>"　,TRUE"</formula1>
    </dataValidation>
    <dataValidation type="list" allowBlank="1" showInputMessage="1" showErrorMessage="1" sqref="M7:M27" xr:uid="{5FE6F0C0-307E-46F0-BDAA-579DADBA61A0}">
      <formula1>"string,textarea,number,integer,list,date,markdown,time,boolean,uri,uuid"</formula1>
    </dataValidation>
    <dataValidation type="list" allowBlank="1" showInputMessage="1" showErrorMessage="1" sqref="C7:C52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E35:E43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E44:E52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https://rde.nims.go.jp/rde/dataset-templates/RDEDatasetTemplateSheet_RDE_WAVELET_TRANSFORM_CHARACTERIZATION/catalog.schema.json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標準データセットテンプレートRDE_WAVELET_TRANSFORM_CHARACTERIZATION用RDEデータセットテンプレート: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RDEDatasetTemplateSheet_RDE_WAVELET_TRANSFORM_CHARACTERIZATION:データカタログ定義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RDEDatasetTemplateSheet_RDE_WAVELET_TRANSFORM_CHARACTERIZATION:data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2026-01-05T06:47:45Z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